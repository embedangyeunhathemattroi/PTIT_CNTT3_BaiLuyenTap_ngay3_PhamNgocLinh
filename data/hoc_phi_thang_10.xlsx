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TRONG TIN\Downloads\starter-kit(1)\starter-kit\trung-tam-tieng-anh\data\"/>
    </mc:Choice>
  </mc:AlternateContent>
  <xr:revisionPtr revIDLastSave="0" documentId="13_ncr:1_{7D20288C-9D2A-4ECB-96BA-16AAC1FDBDC6}" xr6:coauthVersionLast="41" xr6:coauthVersionMax="41" xr10:uidLastSave="{00000000-0000-0000-0000-000000000000}"/>
  <bookViews>
    <workbookView xWindow="-108" yWindow="-108" windowWidth="23256" windowHeight="12576" activeTab="1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</workbook>
</file>

<file path=xl/calcChain.xml><?xml version="1.0" encoding="utf-8"?>
<calcChain xmlns="http://schemas.openxmlformats.org/spreadsheetml/2006/main">
  <c r="E3" i="1" l="1"/>
  <c r="F3" i="1"/>
  <c r="G3" i="1" s="1"/>
  <c r="E4" i="1"/>
  <c r="F4" i="1"/>
  <c r="G4" i="1" s="1"/>
  <c r="E5" i="1"/>
  <c r="F5" i="1"/>
  <c r="G5" i="1"/>
  <c r="E6" i="1"/>
  <c r="F6" i="1"/>
  <c r="G6" i="1" s="1"/>
  <c r="E7" i="1"/>
  <c r="F7" i="1"/>
  <c r="G7" i="1" s="1"/>
  <c r="E8" i="1"/>
  <c r="F8" i="1"/>
  <c r="G8" i="1" s="1"/>
  <c r="E9" i="1"/>
  <c r="F9" i="1"/>
  <c r="G9" i="1" s="1"/>
  <c r="E10" i="1"/>
  <c r="F10" i="1"/>
  <c r="G10" i="1" s="1"/>
  <c r="E11" i="1"/>
  <c r="F11" i="1"/>
  <c r="G11" i="1" s="1"/>
  <c r="E12" i="1"/>
  <c r="F12" i="1"/>
  <c r="G12" i="1" s="1"/>
  <c r="E13" i="1"/>
  <c r="F13" i="1"/>
  <c r="G13" i="1" s="1"/>
  <c r="E14" i="1"/>
  <c r="F14" i="1"/>
  <c r="G14" i="1" s="1"/>
  <c r="E15" i="1"/>
  <c r="F15" i="1"/>
  <c r="G15" i="1" s="1"/>
  <c r="E16" i="1"/>
  <c r="F16" i="1"/>
  <c r="G16" i="1" s="1"/>
  <c r="F2" i="2"/>
  <c r="E2" i="1"/>
  <c r="F2" i="1"/>
  <c r="G2" i="1" s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<sst xmlns="http://schemas.openxmlformats.org/spreadsheetml/2006/main" count="72" uniqueCount="53">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</sst>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workbookViewId="0">
      <selection activeCell="H22" sqref="H22"/>
    </sheetView>
  </sheetViews>
  <sheetFormatPr defaultRowHeight="14.4" x14ac:dyDescent="0.3"/>
  <cols>
    <col min="1" max="4" width="16" customWidth="1"/>
    <col min="5" max="5" width="20.77734375" customWidth="1"/>
    <col min="6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3</v>
      </c>
      <c r="E2" t="str">
        <f>VLOOKUP(C2,KhoaHoc!$A$2:$C$8,2,FALSE)</f>
        <v>Tieng Anh thieu nhi</v>
      </c>
      <c r="F2">
        <f>VLOOKUP(C2,KhoaHoc!$A$2:$C$8,3,FALSE)</f>
        <v>900000</v>
      </c>
      <c r="G2">
        <f>D2*F2</f>
        <v>2700000</v>
      </c>
    </row>
    <row r="3" spans="1:7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VLOOKUP(C3,KhoaHoc!$A$2:$C$8,2,FALSE)</f>
        <v>IELTS 6.5</v>
      </c>
      <c r="F3">
        <f>VLOOKUP(C3,KhoaHoc!$A$2:$C$8,3,FALSE)</f>
        <v>2500000</v>
      </c>
      <c r="G3">
        <f t="shared" ref="G3:G16" si="0">D3*F3</f>
        <v>5000000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VLOOKUP(C4,KhoaHoc!$A$2:$C$8,2,FALSE)</f>
        <v>Luyen phong van</v>
      </c>
      <c r="F4">
        <f>VLOOKUP(C4,KhoaHoc!$A$2:$C$8,3,FALSE)</f>
        <v>3000000</v>
      </c>
      <c r="G4">
        <f t="shared" si="0"/>
        <v>9000000</v>
      </c>
    </row>
    <row r="5" spans="1:7" hidden="1" x14ac:dyDescent="0.3">
      <c r="A5" t="s">
        <v>16</v>
      </c>
      <c r="B5" t="s">
        <v>17</v>
      </c>
      <c r="C5" t="s">
        <v>18</v>
      </c>
      <c r="D5">
        <v>1</v>
      </c>
      <c r="E5" t="str">
        <f>VLOOKUP(C5,KhoaHoc!$A$2:$C$8,2,FALSE)</f>
        <v>Giao tiep nang cao</v>
      </c>
      <c r="F5">
        <f>VLOOKUP(C5,KhoaHoc!$A$2:$C$8,3,FALSE)</f>
        <v>1500000</v>
      </c>
      <c r="G5">
        <f t="shared" si="0"/>
        <v>1500000</v>
      </c>
    </row>
    <row r="6" spans="1:7" x14ac:dyDescent="0.3">
      <c r="A6" t="s">
        <v>19</v>
      </c>
      <c r="B6" t="s">
        <v>20</v>
      </c>
      <c r="C6" t="s">
        <v>18</v>
      </c>
      <c r="D6">
        <v>4</v>
      </c>
      <c r="E6" t="str">
        <f>VLOOKUP(C6,KhoaHoc!$A$2:$C$8,2,FALSE)</f>
        <v>Giao tiep nang cao</v>
      </c>
      <c r="F6">
        <f>VLOOKUP(C6,KhoaHoc!$A$2:$C$8,3,FALSE)</f>
        <v>1500000</v>
      </c>
      <c r="G6">
        <f t="shared" si="0"/>
        <v>6000000</v>
      </c>
    </row>
    <row r="7" spans="1:7" x14ac:dyDescent="0.3">
      <c r="A7" t="s">
        <v>21</v>
      </c>
      <c r="B7" t="s">
        <v>22</v>
      </c>
      <c r="C7" t="s">
        <v>23</v>
      </c>
      <c r="D7">
        <v>4</v>
      </c>
      <c r="E7" t="str">
        <f>VLOOKUP(C7,KhoaHoc!$A$2:$C$8,2,FALSE)</f>
        <v>IELTS 5.0</v>
      </c>
      <c r="F7">
        <f>VLOOKUP(C7,KhoaHoc!$A$2:$C$8,3,FALSE)</f>
        <v>2000000</v>
      </c>
      <c r="G7">
        <f t="shared" si="0"/>
        <v>8000000</v>
      </c>
    </row>
    <row r="8" spans="1:7" x14ac:dyDescent="0.3">
      <c r="A8" t="s">
        <v>24</v>
      </c>
      <c r="B8" t="s">
        <v>25</v>
      </c>
      <c r="C8" t="s">
        <v>26</v>
      </c>
      <c r="D8">
        <v>4</v>
      </c>
      <c r="E8" t="str">
        <f>VLOOKUP(C8,KhoaHoc!$A$2:$C$8,2,FALSE)</f>
        <v>TOEIC 550</v>
      </c>
      <c r="F8">
        <f>VLOOKUP(C8,KhoaHoc!$A$2:$C$8,3,FALSE)</f>
        <v>1800000</v>
      </c>
      <c r="G8">
        <f t="shared" si="0"/>
        <v>7200000</v>
      </c>
    </row>
    <row r="9" spans="1:7" x14ac:dyDescent="0.3">
      <c r="A9" t="s">
        <v>27</v>
      </c>
      <c r="B9" t="s">
        <v>28</v>
      </c>
      <c r="C9" t="s">
        <v>15</v>
      </c>
      <c r="D9">
        <v>3</v>
      </c>
      <c r="E9" t="str">
        <f>VLOOKUP(C9,KhoaHoc!$A$2:$C$8,2,FALSE)</f>
        <v>Luyen phong van</v>
      </c>
      <c r="F9">
        <f>VLOOKUP(C9,KhoaHoc!$A$2:$C$8,3,FALSE)</f>
        <v>3000000</v>
      </c>
      <c r="G9">
        <f t="shared" si="0"/>
        <v>9000000</v>
      </c>
    </row>
    <row r="10" spans="1:7" x14ac:dyDescent="0.3">
      <c r="A10" t="s">
        <v>29</v>
      </c>
      <c r="B10" t="s">
        <v>30</v>
      </c>
      <c r="C10" t="s">
        <v>12</v>
      </c>
      <c r="D10">
        <v>3</v>
      </c>
      <c r="E10" t="str">
        <f>VLOOKUP(C10,KhoaHoc!$A$2:$C$8,2,FALSE)</f>
        <v>IELTS 6.5</v>
      </c>
      <c r="F10">
        <f>VLOOKUP(C10,KhoaHoc!$A$2:$C$8,3,FALSE)</f>
        <v>2500000</v>
      </c>
      <c r="G10">
        <f t="shared" si="0"/>
        <v>7500000</v>
      </c>
    </row>
    <row r="11" spans="1:7" hidden="1" x14ac:dyDescent="0.3">
      <c r="A11" t="s">
        <v>31</v>
      </c>
      <c r="B11" t="s">
        <v>32</v>
      </c>
      <c r="C11" t="s">
        <v>12</v>
      </c>
      <c r="D11">
        <v>1</v>
      </c>
      <c r="E11" t="str">
        <f>VLOOKUP(C11,KhoaHoc!$A$2:$C$8,2,FALSE)</f>
        <v>IELTS 6.5</v>
      </c>
      <c r="F11">
        <f>VLOOKUP(C11,KhoaHoc!$A$2:$C$8,3,FALSE)</f>
        <v>2500000</v>
      </c>
      <c r="G11">
        <f t="shared" si="0"/>
        <v>2500000</v>
      </c>
    </row>
    <row r="12" spans="1:7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VLOOKUP(C12,KhoaHoc!$A$2:$C$8,2,FALSE)</f>
        <v>Tieng Anh thieu nhi</v>
      </c>
      <c r="F12">
        <f>VLOOKUP(C12,KhoaHoc!$A$2:$C$8,3,FALSE)</f>
        <v>900000</v>
      </c>
      <c r="G12">
        <f t="shared" si="0"/>
        <v>900000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4</v>
      </c>
      <c r="E13" t="str">
        <f>VLOOKUP(C13,KhoaHoc!$A$2:$C$8,2,FALSE)</f>
        <v>Giao tiep co ban</v>
      </c>
      <c r="F13">
        <f>VLOOKUP(C13,KhoaHoc!$A$2:$C$8,3,FALSE)</f>
        <v>1200000</v>
      </c>
      <c r="G13">
        <f t="shared" si="0"/>
        <v>4800000</v>
      </c>
    </row>
    <row r="14" spans="1:7" hidden="1" x14ac:dyDescent="0.3">
      <c r="A14" t="s">
        <v>38</v>
      </c>
      <c r="B14" t="s">
        <v>39</v>
      </c>
      <c r="C14" t="s">
        <v>26</v>
      </c>
      <c r="D14">
        <v>3</v>
      </c>
      <c r="E14" t="str">
        <f>VLOOKUP(C14,KhoaHoc!$A$2:$C$8,2,FALSE)</f>
        <v>TOEIC 550</v>
      </c>
      <c r="F14">
        <f>VLOOKUP(C14,KhoaHoc!$A$2:$C$8,3,FALSE)</f>
        <v>1800000</v>
      </c>
      <c r="G14">
        <f t="shared" si="0"/>
        <v>5400000</v>
      </c>
    </row>
    <row r="15" spans="1:7" hidden="1" x14ac:dyDescent="0.3">
      <c r="A15" t="s">
        <v>40</v>
      </c>
      <c r="B15" t="s">
        <v>41</v>
      </c>
      <c r="C15" t="s">
        <v>12</v>
      </c>
      <c r="D15">
        <v>1</v>
      </c>
      <c r="E15" t="str">
        <f>VLOOKUP(C15,KhoaHoc!$A$2:$C$8,2,FALSE)</f>
        <v>IELTS 6.5</v>
      </c>
      <c r="F15">
        <f>VLOOKUP(C15,KhoaHoc!$A$2:$C$8,3,FALSE)</f>
        <v>2500000</v>
      </c>
      <c r="G15">
        <f t="shared" si="0"/>
        <v>2500000</v>
      </c>
    </row>
    <row r="16" spans="1:7" x14ac:dyDescent="0.3">
      <c r="A16" t="s">
        <v>42</v>
      </c>
      <c r="B16" t="s">
        <v>43</v>
      </c>
      <c r="C16" t="s">
        <v>12</v>
      </c>
      <c r="D16">
        <v>4</v>
      </c>
      <c r="E16" t="str">
        <f>VLOOKUP(C16,KhoaHoc!$A$2:$C$8,2,FALSE)</f>
        <v>IELTS 6.5</v>
      </c>
      <c r="F16">
        <f>VLOOKUP(C16,KhoaHoc!$A$2:$C$8,3,FALSE)</f>
        <v>2500000</v>
      </c>
      <c r="G16">
        <f t="shared" si="0"/>
        <v>10000000</v>
      </c>
    </row>
  </sheetData>
  <autoFilter ref="A1:G16" xr:uid="{7541957C-D55A-458B-A1E3-3E85FC1D8F1F}">
    <filterColumn colId="6">
      <customFilters>
        <customFilter operator="greaterThanOrEqual" val="6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selection activeCell="E3" sqref="E3"/>
    </sheetView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37</v>
      </c>
      <c r="F2">
        <f>VLOOKUP(E2,$A$2:$C$8,3,FALSE)</f>
        <v>1200000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TRONG TIN</cp:lastModifiedBy>
  <dcterms:created xsi:type="dcterms:W3CDTF">2026-10-19T10:04:50Z</dcterms:created>
  <dcterms:modified xsi:type="dcterms:W3CDTF">2026-10-22T12:48:46Z</dcterms:modified>
</cp:coreProperties>
</file>